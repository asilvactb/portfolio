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0F1A2B"/>
      <sz val="14"/>
    </font>
    <font>
      <i val="1"/>
      <color rgb="0067707E"/>
    </font>
    <font>
      <b val="1"/>
      <color rgb="00FFFFFF"/>
    </font>
    <font>
      <color rgb="001F3BFF"/>
    </font>
    <font>
      <b val="1"/>
      <color rgb="000F1A2B"/>
    </font>
  </fonts>
  <fills count="3">
    <fill>
      <patternFill/>
    </fill>
    <fill>
      <patternFill patternType="gray125"/>
    </fill>
    <fill>
      <patternFill patternType="solid">
        <fgColor rgb="000F1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9" fontId="4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budget (€k)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'Report'!A5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'Report'!$B$4:$J$4</f>
            </numRef>
          </cat>
          <val>
            <numRef>
              <f>'Report'!$B$5:$J$5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'Report'!A6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'Report'!$B$6:$J$6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Northbridge Components — Monthly Management Report (concept, fictional data)</t>
        </is>
      </c>
    </row>
    <row r="2">
      <c r="A2" s="2" t="inlineStr">
        <is>
          <t>€ thousands. Blue cells are inputs; black cells are formulas.</t>
        </is>
      </c>
    </row>
    <row r="4">
      <c r="A4" s="3" t="inlineStr">
        <is>
          <t>Line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Aug</t>
        </is>
      </c>
      <c r="J4" s="4" t="inlineStr">
        <is>
          <t>Sep</t>
        </is>
      </c>
      <c r="K4" s="4" t="inlineStr">
        <is>
          <t>YTD</t>
        </is>
      </c>
    </row>
    <row r="5">
      <c r="A5" t="inlineStr">
        <is>
          <t>Revenue (actual)</t>
        </is>
      </c>
      <c r="B5" s="5" t="n">
        <v>412</v>
      </c>
      <c r="C5" s="5" t="n">
        <v>438</v>
      </c>
      <c r="D5" s="5" t="n">
        <v>455</v>
      </c>
      <c r="E5" s="5" t="n">
        <v>431</v>
      </c>
      <c r="F5" s="5" t="n">
        <v>472</v>
      </c>
      <c r="G5" s="5" t="n">
        <v>498</v>
      </c>
      <c r="H5" s="5" t="n">
        <v>489</v>
      </c>
      <c r="I5" s="5" t="n">
        <v>521</v>
      </c>
      <c r="J5" s="5" t="n">
        <v>547</v>
      </c>
      <c r="K5">
        <f>SUM(B5:J5)</f>
        <v/>
      </c>
    </row>
    <row r="6">
      <c r="A6" t="inlineStr">
        <is>
          <t>Revenue (budget)</t>
        </is>
      </c>
      <c r="B6" s="5" t="n">
        <v>420</v>
      </c>
      <c r="C6" s="5" t="n">
        <v>430</v>
      </c>
      <c r="D6" s="5" t="n">
        <v>445</v>
      </c>
      <c r="E6" s="5" t="n">
        <v>450</v>
      </c>
      <c r="F6" s="5" t="n">
        <v>465</v>
      </c>
      <c r="G6" s="5" t="n">
        <v>480</v>
      </c>
      <c r="H6" s="5" t="n">
        <v>495</v>
      </c>
      <c r="I6" s="5" t="n">
        <v>510</v>
      </c>
      <c r="J6" s="5" t="n">
        <v>530</v>
      </c>
      <c r="K6">
        <f>SUM(B6:J6)</f>
        <v/>
      </c>
    </row>
    <row r="7">
      <c r="A7" t="inlineStr">
        <is>
          <t>Cost of sales (actual)</t>
        </is>
      </c>
      <c r="B7" s="5" t="n">
        <v>247</v>
      </c>
      <c r="C7" s="5" t="n">
        <v>259</v>
      </c>
      <c r="D7" s="5" t="n">
        <v>268</v>
      </c>
      <c r="E7" s="5" t="n">
        <v>255</v>
      </c>
      <c r="F7" s="5" t="n">
        <v>276</v>
      </c>
      <c r="G7" s="5" t="n">
        <v>289</v>
      </c>
      <c r="H7" s="5" t="n">
        <v>283</v>
      </c>
      <c r="I7" s="5" t="n">
        <v>297</v>
      </c>
      <c r="J7" s="5" t="n">
        <v>306</v>
      </c>
      <c r="K7">
        <f>SUM(B7:J7)</f>
        <v/>
      </c>
    </row>
    <row r="8">
      <c r="A8" t="inlineStr">
        <is>
          <t>Operating costs (actual)</t>
        </is>
      </c>
      <c r="B8" s="5" t="n">
        <v>118</v>
      </c>
      <c r="C8" s="5" t="n">
        <v>121</v>
      </c>
      <c r="D8" s="5" t="n">
        <v>124</v>
      </c>
      <c r="E8" s="5" t="n">
        <v>122</v>
      </c>
      <c r="F8" s="5" t="n">
        <v>127</v>
      </c>
      <c r="G8" s="5" t="n">
        <v>131</v>
      </c>
      <c r="H8" s="5" t="n">
        <v>129</v>
      </c>
      <c r="I8" s="5" t="n">
        <v>134</v>
      </c>
      <c r="J8" s="5" t="n">
        <v>137</v>
      </c>
      <c r="K8">
        <f>SUM(B8:J8)</f>
        <v/>
      </c>
    </row>
    <row r="9">
      <c r="A9" t="inlineStr">
        <is>
          <t>Operating costs (budget)</t>
        </is>
      </c>
      <c r="B9" s="5" t="n">
        <v>121</v>
      </c>
      <c r="C9" s="5" t="n">
        <v>123</v>
      </c>
      <c r="D9" s="5" t="n">
        <v>124</v>
      </c>
      <c r="E9" s="5" t="n">
        <v>125</v>
      </c>
      <c r="F9" s="5" t="n">
        <v>127</v>
      </c>
      <c r="G9" s="5" t="n">
        <v>129</v>
      </c>
      <c r="H9" s="5" t="n">
        <v>131</v>
      </c>
      <c r="I9" s="5" t="n">
        <v>132</v>
      </c>
      <c r="J9" s="5" t="n">
        <v>134</v>
      </c>
      <c r="K9">
        <f>SUM(B9:J9)</f>
        <v/>
      </c>
    </row>
    <row r="11">
      <c r="A11" t="inlineStr">
        <is>
          <t>Budget cost of sales % of budget revenue</t>
        </is>
      </c>
      <c r="B11" s="6" t="n">
        <v>0.57</v>
      </c>
    </row>
    <row r="13">
      <c r="A13" t="inlineStr">
        <is>
          <t>Budget cost of sales</t>
        </is>
      </c>
      <c r="B13" s="7">
        <f>B6*$B$11</f>
        <v/>
      </c>
      <c r="C13" s="7">
        <f>C6*$B$11</f>
        <v/>
      </c>
      <c r="D13" s="7">
        <f>D6*$B$11</f>
        <v/>
      </c>
      <c r="E13" s="7">
        <f>E6*$B$11</f>
        <v/>
      </c>
      <c r="F13" s="7">
        <f>F6*$B$11</f>
        <v/>
      </c>
      <c r="G13" s="7">
        <f>G6*$B$11</f>
        <v/>
      </c>
      <c r="H13" s="7">
        <f>H6*$B$11</f>
        <v/>
      </c>
      <c r="I13" s="7">
        <f>I6*$B$11</f>
        <v/>
      </c>
      <c r="J13" s="7">
        <f>J6*$B$11</f>
        <v/>
      </c>
      <c r="K13" s="7">
        <f>SUM(B13:J13)</f>
        <v/>
      </c>
    </row>
    <row r="14">
      <c r="A14" t="inlineStr">
        <is>
          <t>Gross profit (actual)</t>
        </is>
      </c>
      <c r="B14">
        <f>B5-B7</f>
        <v/>
      </c>
      <c r="C14">
        <f>C5-C7</f>
        <v/>
      </c>
      <c r="D14">
        <f>D5-D7</f>
        <v/>
      </c>
      <c r="E14">
        <f>E5-E7</f>
        <v/>
      </c>
      <c r="F14">
        <f>F5-F7</f>
        <v/>
      </c>
      <c r="G14">
        <f>G5-G7</f>
        <v/>
      </c>
      <c r="H14">
        <f>H5-H7</f>
        <v/>
      </c>
      <c r="I14">
        <f>I5-I7</f>
        <v/>
      </c>
      <c r="J14">
        <f>J5-J7</f>
        <v/>
      </c>
      <c r="K14">
        <f>SUM(B14:J14)</f>
        <v/>
      </c>
    </row>
    <row r="15">
      <c r="A15" t="inlineStr">
        <is>
          <t>Gross margin %</t>
        </is>
      </c>
      <c r="B15" s="8">
        <f>B14/B5</f>
        <v/>
      </c>
      <c r="C15" s="8">
        <f>C14/C5</f>
        <v/>
      </c>
      <c r="D15" s="8">
        <f>D14/D5</f>
        <v/>
      </c>
      <c r="E15" s="8">
        <f>E14/E5</f>
        <v/>
      </c>
      <c r="F15" s="8">
        <f>F14/F5</f>
        <v/>
      </c>
      <c r="G15" s="8">
        <f>G14/G5</f>
        <v/>
      </c>
      <c r="H15" s="8">
        <f>H14/H5</f>
        <v/>
      </c>
      <c r="I15" s="8">
        <f>I14/I5</f>
        <v/>
      </c>
      <c r="J15" s="8">
        <f>J14/J5</f>
        <v/>
      </c>
      <c r="K15" s="8">
        <f>K14/K5</f>
        <v/>
      </c>
    </row>
    <row r="16">
      <c r="A16" t="inlineStr">
        <is>
          <t>EBITDA (actual)</t>
        </is>
      </c>
      <c r="B16">
        <f>B14-B8</f>
        <v/>
      </c>
      <c r="C16">
        <f>C14-C8</f>
        <v/>
      </c>
      <c r="D16">
        <f>D14-D8</f>
        <v/>
      </c>
      <c r="E16">
        <f>E14-E8</f>
        <v/>
      </c>
      <c r="F16">
        <f>F14-F8</f>
        <v/>
      </c>
      <c r="G16">
        <f>G14-G8</f>
        <v/>
      </c>
      <c r="H16">
        <f>H14-H8</f>
        <v/>
      </c>
      <c r="I16">
        <f>I14-I8</f>
        <v/>
      </c>
      <c r="J16">
        <f>J14-J8</f>
        <v/>
      </c>
      <c r="K16">
        <f>SUM(B16:J16)</f>
        <v/>
      </c>
    </row>
    <row r="17">
      <c r="A17" t="inlineStr">
        <is>
          <t>EBITDA (budget)</t>
        </is>
      </c>
      <c r="B17">
        <f>(B6-B13)-B9</f>
        <v/>
      </c>
      <c r="C17">
        <f>(C6-C13)-C9</f>
        <v/>
      </c>
      <c r="D17">
        <f>(D6-D13)-D9</f>
        <v/>
      </c>
      <c r="E17">
        <f>(E6-E13)-E9</f>
        <v/>
      </c>
      <c r="F17">
        <f>(F6-F13)-F9</f>
        <v/>
      </c>
      <c r="G17">
        <f>(G6-G13)-G9</f>
        <v/>
      </c>
      <c r="H17">
        <f>(H6-H13)-H9</f>
        <v/>
      </c>
      <c r="I17">
        <f>(I6-I13)-I9</f>
        <v/>
      </c>
      <c r="J17">
        <f>(J6-J13)-J9</f>
        <v/>
      </c>
      <c r="K17">
        <f>SUM(B17:J17)</f>
        <v/>
      </c>
    </row>
    <row r="18">
      <c r="A18" t="inlineStr">
        <is>
          <t>Revenue variance vs budget</t>
        </is>
      </c>
      <c r="B18">
        <f>B5-B6</f>
        <v/>
      </c>
      <c r="C18">
        <f>C5-C6</f>
        <v/>
      </c>
      <c r="D18">
        <f>D5-D6</f>
        <v/>
      </c>
      <c r="E18">
        <f>E5-E6</f>
        <v/>
      </c>
      <c r="F18">
        <f>F5-F6</f>
        <v/>
      </c>
      <c r="G18">
        <f>G5-G6</f>
        <v/>
      </c>
      <c r="H18">
        <f>H5-H6</f>
        <v/>
      </c>
      <c r="I18">
        <f>I5-I6</f>
        <v/>
      </c>
      <c r="J18">
        <f>J5-J6</f>
        <v/>
      </c>
      <c r="K18">
        <f>SUM(B18:J18)</f>
        <v/>
      </c>
    </row>
    <row r="19">
      <c r="A19" t="inlineStr">
        <is>
          <t>Revenue variance %</t>
        </is>
      </c>
      <c r="B19" s="8">
        <f>B5/B6-1</f>
        <v/>
      </c>
      <c r="C19" s="8">
        <f>C5/C6-1</f>
        <v/>
      </c>
      <c r="D19" s="8">
        <f>D5/D6-1</f>
        <v/>
      </c>
      <c r="E19" s="8">
        <f>E5/E6-1</f>
        <v/>
      </c>
      <c r="F19" s="8">
        <f>F5/F6-1</f>
        <v/>
      </c>
      <c r="G19" s="8">
        <f>G5/G6-1</f>
        <v/>
      </c>
      <c r="H19" s="8">
        <f>H5/H6-1</f>
        <v/>
      </c>
      <c r="I19" s="8">
        <f>I5/I6-1</f>
        <v/>
      </c>
      <c r="J19" s="8">
        <f>J5/J6-1</f>
        <v/>
      </c>
      <c r="K19" s="8">
        <f>K5/K6-1</f>
        <v/>
      </c>
    </row>
    <row r="20">
      <c r="A20" t="inlineStr">
        <is>
          <t>Cash conversion of EBITDA</t>
        </is>
      </c>
      <c r="B20" s="6" t="n">
        <v>0.9</v>
      </c>
    </row>
    <row r="21">
      <c r="A21" t="inlineStr">
        <is>
          <t>Opening cash</t>
        </is>
      </c>
      <c r="B21" s="5" t="n">
        <v>640</v>
      </c>
    </row>
    <row r="22">
      <c r="A22" t="inlineStr">
        <is>
          <t>Closing cash</t>
        </is>
      </c>
      <c r="B22" s="7">
        <f>$B$21+B16*$B$20</f>
        <v/>
      </c>
      <c r="C22" s="7">
        <f>B22+C16*$B$20</f>
        <v/>
      </c>
      <c r="D22" s="7">
        <f>C22+D16*$B$20</f>
        <v/>
      </c>
      <c r="E22" s="7">
        <f>D22+E16*$B$20</f>
        <v/>
      </c>
      <c r="F22" s="7">
        <f>E22+F16*$B$20</f>
        <v/>
      </c>
      <c r="G22" s="7">
        <f>F22+G16*$B$20</f>
        <v/>
      </c>
      <c r="H22" s="7">
        <f>G22+H16*$B$20</f>
        <v/>
      </c>
      <c r="I22" s="7">
        <f>H22+I16*$B$20</f>
        <v/>
      </c>
      <c r="J22" s="7">
        <f>I22+J16*$B$20</f>
        <v/>
      </c>
      <c r="K22" s="7">
        <f>J22</f>
        <v/>
      </c>
    </row>
    <row r="24">
      <c r="A24" s="9" t="inlineStr">
        <is>
          <t>Summary (September)</t>
        </is>
      </c>
    </row>
    <row r="25">
      <c r="A25" t="inlineStr">
        <is>
          <t>Revenue</t>
        </is>
      </c>
      <c r="B25" s="10">
        <f>J5</f>
        <v/>
      </c>
    </row>
    <row r="26">
      <c r="A26" t="inlineStr">
        <is>
          <t>Gross margin</t>
        </is>
      </c>
      <c r="B26" s="8">
        <f>J15</f>
        <v/>
      </c>
    </row>
    <row r="27">
      <c r="A27" t="inlineStr">
        <is>
          <t>EBITDA</t>
        </is>
      </c>
      <c r="B27" s="10">
        <f>J16</f>
        <v/>
      </c>
    </row>
    <row r="28">
      <c r="A28" t="inlineStr">
        <is>
          <t>Closing cash</t>
        </is>
      </c>
      <c r="B28" s="10">
        <f>J22</f>
        <v/>
      </c>
    </row>
    <row r="29">
      <c r="A29" t="inlineStr">
        <is>
          <t>Cash months of outflows (3-mo avg)</t>
        </is>
      </c>
      <c r="B29" s="11">
        <f>J22/((SUM(H7:J7)+SUM(H8:J8))/3)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2026-09-30T16:31:43Z</dcterms:created>
  <dcterms:modified xmlns:dcterms="http://purl.org/dc/terms/" xmlns:xsi="http://www.w3.org/2001/XMLSchema-instance" xsi:type="dcterms:W3CDTF">2026-09-30T16:31:43Z</dcterms:modified>
</cp:coreProperties>
</file>